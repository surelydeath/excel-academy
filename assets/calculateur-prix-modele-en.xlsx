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lculator" state="visible" r:id="rId4"/>
  </sheets>
  <calcPr calcId="171027"/>
</workbook>
</file>

<file path=xl/sharedStrings.xml><?xml version="1.0" encoding="utf-8"?>
<sst xmlns="http://schemas.openxmlformats.org/spreadsheetml/2006/main" count="14" uniqueCount="14">
  <si>
    <t>Price calculator</t>
  </si>
  <si>
    <t>Item</t>
  </si>
  <si>
    <t>Value</t>
  </si>
  <si>
    <t>Material cost</t>
  </si>
  <si>
    <t>Production time (min)</t>
  </si>
  <si>
    <t>Hourly rate</t>
  </si>
  <si>
    <t>Other costs (packaging…)</t>
  </si>
  <si>
    <t>Desired markup</t>
  </si>
  <si>
    <t>VAT</t>
  </si>
  <si>
    <t>Cost price</t>
  </si>
  <si>
    <t>Selling price excl. VAT</t>
  </si>
  <si>
    <t>Selling price incl. VAT</t>
  </si>
  <si>
    <t>Profit per product</t>
  </si>
  <si>
    <t>Margin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</si>
</sst>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$&quot;#,##0.00"/>
    <numFmt numFmtId="165" formatCode="0.0%"/>
  </numFmts>
  <fonts count="5" x14ac:knownFonts="1">
    <font>
      <color theme="1"/>
      <family val="2"/>
      <scheme val="minor"/>
      <sz val="11"/>
      <name val="Calibri"/>
    </font>
    <font>
      <b/>
      <color rgb="FF40304F"/>
      <sz val="18"/>
    </font>
    <font>
      <b/>
      <color rgb="FFFFFFFF"/>
    </font>
    <font/>
    <font>
      <b/>
    </font>
  </fonts>
  <fills count="5">
    <fill>
      <patternFill patternType="none"/>
    </fill>
    <fill>
      <patternFill patternType="gray125"/>
    </fill>
    <fill>
      <patternFill patternType="solid">
        <fgColor rgb="FFF9B9D0"/>
      </patternFill>
    </fill>
    <fill>
      <patternFill patternType="solid">
        <fgColor rgb="FFFDE9D8"/>
      </patternFill>
    </fill>
    <fill>
      <patternFill patternType="solid">
        <fgColor rgb="FFE4F5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2" borderId="0" xfId="0" applyFont="1" applyFill="1" applyAlignment="1">
      <alignment horizontal="right"/>
    </xf>
    <xf numFmtId="164" fontId="0" fillId="3" borderId="0" xfId="0" applyNumberFormat="1" applyFill="1"/>
    <xf numFmtId="0" fontId="0" fillId="3" borderId="0" xfId="0" applyFill="1"/>
    <xf numFmtId="9" fontId="0" fillId="3" borderId="0" xfId="0" applyNumberFormat="1" applyFill="1"/>
    <xf numFmtId="0" fontId="3" fillId="0" borderId="0" xfId="0" applyFont="1"/>
    <xf numFmtId="164" fontId="0" fillId="4" borderId="0" xfId="0" applyNumberFormat="1" applyFill="1"/>
    <xf numFmtId="0" fontId="4" fillId="0" borderId="0" xfId="0" applyFont="1"/>
    <xf numFmtId="165" fontId="0" fillId="4" borderId="0" xfId="0" applyNumberFormat="1" applyFill="1"/>
  </cellXfs>
  <cellStyles count="1">
    <cellStyle name="Normal" xfId="0" builtinId="0"/>
  </cellStyles>
  <dxfs count="1">
    <dxf>
      <fill>
        <patternFill patternType="solid">
          <bgColor rgb="FFFDE0EA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34" customWidth="1"/>
    <col min="2" max="2" width="18" customWidth="1"/>
  </cols>
  <sheetData>
    <row r="1" spans="1:1" x14ac:dyDescent="0.25">
      <c r="A1" s="1" t="s">
        <v>0</v>
      </c>
    </row>
    <row r="2" spans="1:2" x14ac:dyDescent="0.25">
      <c r="A2" s="2" t="s">
        <v>1</v>
      </c>
      <c r="B2" s="3" t="s">
        <v>2</v>
      </c>
    </row>
    <row r="3" spans="1:2" x14ac:dyDescent="0.25">
      <c r="A3" t="s">
        <v>3</v>
      </c>
      <c r="B3" s="4">
        <v>5.5</v>
      </c>
    </row>
    <row r="4" spans="1:2" x14ac:dyDescent="0.25">
      <c r="A4" t="s">
        <v>4</v>
      </c>
      <c r="B4" s="5">
        <v>30</v>
      </c>
    </row>
    <row r="5" spans="1:2" x14ac:dyDescent="0.25">
      <c r="A5" t="s">
        <v>5</v>
      </c>
      <c r="B5" s="4">
        <v>15</v>
      </c>
    </row>
    <row r="6" spans="1:2" x14ac:dyDescent="0.25">
      <c r="A6" t="s">
        <v>6</v>
      </c>
      <c r="B6" s="4">
        <v>1.58</v>
      </c>
    </row>
    <row r="7" spans="1:2" x14ac:dyDescent="0.25">
      <c r="A7" t="s">
        <v>7</v>
      </c>
      <c r="B7" s="6">
        <v>0.5</v>
      </c>
    </row>
    <row r="8" spans="1:2" x14ac:dyDescent="0.25">
      <c r="A8" t="s">
        <v>8</v>
      </c>
      <c r="B8" s="6">
        <v>0.2</v>
      </c>
    </row>
    <row r="10" spans="1:2" x14ac:dyDescent="0.25">
      <c r="A10" s="7" t="s">
        <v>9</v>
      </c>
      <c r="B10" s="8">
        <f>B3+B4/60*B5+B6</f>
        <v>14.58</v>
      </c>
    </row>
    <row r="11" spans="1:2" x14ac:dyDescent="0.25">
      <c r="A11" s="7" t="s">
        <v>10</v>
      </c>
      <c r="B11" s="8">
        <f>B10*(1+B7)</f>
        <v>21.87</v>
      </c>
    </row>
    <row r="12" spans="1:2" x14ac:dyDescent="0.25">
      <c r="A12" s="9" t="s">
        <v>11</v>
      </c>
      <c r="B12" s="8">
        <f>B11*(1+B8)</f>
        <v>26.244</v>
      </c>
    </row>
    <row r="13" spans="1:2" x14ac:dyDescent="0.25">
      <c r="A13" s="7" t="s">
        <v>12</v>
      </c>
      <c r="B13" s="8">
        <f>B11-B10</f>
        <v>7.290000000000001</v>
      </c>
    </row>
    <row r="14" spans="1:2" x14ac:dyDescent="0.25">
      <c r="A14" s="7" t="s">
        <v>13</v>
      </c>
      <c r="B14" s="10">
        <f>B13/B11</f>
        <v>0.33333333333333337</v>
      </c>
    </row>
  </sheetData>
  <conditionalFormatting sqref="B14">
    <cfRule type="cellIs" dxfId="0" priority="1" operator="lessThan">
      <formula>0.2</formula>
    </cfRule>
  </conditionalFormatting>
  <dataValidations count="1">
    <dataValidation type="list" sqref="B8">
      <formula1>"0.055,0.1,0.2"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Calculator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 Académie</dc:creator>
  <dc:title/>
  <dc:subject/>
  <dc:description/>
  <cp:keywords/>
  <cp:category/>
  <cp:lastModifiedBy>Unknown</cp:lastModifiedBy>
  <dcterms:created xsi:type="dcterms:W3CDTF">2026-10-02T03:04:49Z</dcterms:created>
  <dcterms:modified xsi:type="dcterms:W3CDTF">2026-10-02T03:04:49Z</dcterms:modified>
</cp:coreProperties>
</file>