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<sst xmlns="http://schemas.openxmlformats.org/spreadsheetml/2006/main" count="18" uniqueCount="18">
  <si>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Monthly budget</t>
  </si>
  <si>
    <t>Income this month</t>
  </si>
  <si>
    <t>Category</t>
  </si>
  <si>
    <t>Planned</t>
  </si>
  <si>
    <t>Spent</t>
  </si>
  <si>
    <t>Left</t>
  </si>
  <si>
    <t>% of income</t>
  </si>
  <si>
    <t>Rent</t>
  </si>
  <si>
    <t>Groceries</t>
  </si>
  <si>
    <t>Transport</t>
  </si>
  <si>
    <t>Phone and internet</t>
  </si>
  <si>
    <t>Fun</t>
  </si>
  <si>
    <t>Savings</t>
  </si>
  <si>
    <t>Other</t>
  </si>
  <si>
    <t>Total</t>
  </si>
  <si>
    <t>Left at month end</t>
  </si>
  <si>
    <t>Savings rate</t>
  </si>
  <si>
    <t>Categories over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</si>
</sst>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DE9D8"/>
      </patternFill>
    </fill>
    <fill>
      <patternFill patternType="solid">
        <fgColor rgb="FFF9B9D0"/>
      </patternFill>
    </fill>
    <fill>
      <patternFill patternType="solid">
        <fgColor rgb="FFE4F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3" fillId="0" borderId="0" xfId="0" applyFont="1"/>
    <xf numFmtId="164" fontId="3" fillId="4" borderId="0" xfId="0" applyNumberFormat="1" applyFont="1" applyFill="1"/>
    <xf numFmtId="165" fontId="3" fillId="4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5" width="14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3400</v>
      </c>
    </row>
    <row r="5" spans="1: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5">
      <c r="A6" t="s">
        <v>7</v>
      </c>
      <c r="B6" s="2">
        <v>1100</v>
      </c>
      <c r="C6" s="2">
        <v>1100</v>
      </c>
      <c r="D6" s="4">
        <f>B6-C6</f>
        <v>0</v>
      </c>
      <c r="E6" s="5">
        <f>C6/$B$3</f>
        <v>0.3235294117647059</v>
      </c>
    </row>
    <row r="7" spans="1:5" x14ac:dyDescent="0.25">
      <c r="A7" t="s">
        <v>8</v>
      </c>
      <c r="B7" s="2">
        <v>450</v>
      </c>
      <c r="C7" s="2">
        <v>512.4</v>
      </c>
      <c r="D7" s="4">
        <f>B7-C7</f>
        <v>-62.39999999999998</v>
      </c>
      <c r="E7" s="5">
        <f>C7/$B$3</f>
        <v>0.15070588235294116</v>
      </c>
    </row>
    <row r="8" spans="1:5" x14ac:dyDescent="0.25">
      <c r="A8" t="s">
        <v>9</v>
      </c>
      <c r="B8" s="2">
        <v>180</v>
      </c>
      <c r="C8" s="2">
        <v>165.25</v>
      </c>
      <c r="D8" s="4">
        <f>B8-C8</f>
        <v>14.75</v>
      </c>
      <c r="E8" s="5">
        <f>C8/$B$3</f>
        <v>0.048602941176470585</v>
      </c>
    </row>
    <row r="9" spans="1:5" x14ac:dyDescent="0.25">
      <c r="A9" t="s">
        <v>10</v>
      </c>
      <c r="B9" s="2">
        <v>120</v>
      </c>
      <c r="C9" s="2">
        <v>118</v>
      </c>
      <c r="D9" s="4">
        <f>B9-C9</f>
        <v>2</v>
      </c>
      <c r="E9" s="5">
        <f>C9/$B$3</f>
        <v>0.03470588235294118</v>
      </c>
    </row>
    <row r="10" spans="1:5" x14ac:dyDescent="0.25">
      <c r="A10" t="s">
        <v>11</v>
      </c>
      <c r="B10" s="2">
        <v>200</v>
      </c>
      <c r="C10" s="2">
        <v>245.8</v>
      </c>
      <c r="D10" s="4">
        <f>B10-C10</f>
        <v>-45.80000000000001</v>
      </c>
      <c r="E10" s="5">
        <f>C10/$B$3</f>
        <v>0.07229411764705883</v>
      </c>
    </row>
    <row r="11" spans="1:5" x14ac:dyDescent="0.25">
      <c r="A11" t="s">
        <v>12</v>
      </c>
      <c r="B11" s="2">
        <v>400</v>
      </c>
      <c r="C11" s="2">
        <v>400</v>
      </c>
      <c r="D11" s="4">
        <f>B11-C11</f>
        <v>0</v>
      </c>
      <c r="E11" s="5">
        <f>C11/$B$3</f>
        <v>0.11764705882352941</v>
      </c>
    </row>
    <row r="12" spans="1:5" x14ac:dyDescent="0.25">
      <c r="A12" t="s">
        <v>13</v>
      </c>
      <c r="B12" s="2">
        <v>150</v>
      </c>
      <c r="C12" s="2">
        <v>98.5</v>
      </c>
      <c r="D12" s="4">
        <f>B12-C12</f>
        <v>51.5</v>
      </c>
      <c r="E12" s="5">
        <f>C12/$B$3</f>
        <v>0.028970588235294116</v>
      </c>
    </row>
    <row r="13" spans="1:5" x14ac:dyDescent="0.25">
      <c r="A13" s="6" t="s">
        <v>14</v>
      </c>
      <c r="B13" s="7">
        <f>SUM(B6:B12)</f>
        <v>2600</v>
      </c>
      <c r="C13" s="7">
        <f>SUM(C6:C12)</f>
        <v>2639.9500000000003</v>
      </c>
      <c r="D13" s="7">
        <f>B13-C13</f>
        <v>-39.95000000000027</v>
      </c>
      <c r="E13" s="8">
        <f>C13/B3</f>
        <v>0.7764558823529413</v>
      </c>
    </row>
    <row r="15" spans="1:2" x14ac:dyDescent="0.25">
      <c r="A15" t="s">
        <v>15</v>
      </c>
      <c r="B15" s="4">
        <f>B3-C13</f>
        <v>760.0499999999997</v>
      </c>
    </row>
    <row r="16" spans="1:2" x14ac:dyDescent="0.25">
      <c r="A16" t="s">
        <v>16</v>
      </c>
      <c r="B16" s="5">
        <f>C11/B3</f>
        <v>0.11764705882352941</v>
      </c>
    </row>
    <row r="17" spans="1:2" x14ac:dyDescent="0.25">
      <c r="A17" t="s">
        <v>17</v>
      </c>
      <c r="B17" s="9">
        <f>COUNTIF(D6:D12,"&lt;0")</f>
        <v>2</v>
      </c>
    </row>
  </sheetData>
  <conditionalFormatting sqref="D6:D1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