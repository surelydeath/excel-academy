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" state="visible" r:id="rId4"/>
  </sheets>
  <calcPr calcId="171027"/>
</workbook>
</file>

<file path=xl/sharedStrings.xml><?xml version="1.0" encoding="utf-8"?>
<sst xmlns="http://schemas.openxmlformats.org/spreadsheetml/2006/main" count="18" uniqueCount="18">
  <si>
    <t>Budget mensuel</t>
  </si>
  <si>
    <t>Revenu du mois</t>
  </si>
  <si>
    <t>Catégorie</t>
  </si>
  <si>
    <t>Budget prévu</t>
  </si>
  <si>
    <t>Dépensé</t>
  </si>
  <si>
    <t>Reste</t>
  </si>
  <si>
    <t>% du revenu</t>
  </si>
  <si>
    <t>Loyer</t>
  </si>
  <si>
    <t>Épicerie</t>
  </si>
  <si>
    <t>Transport</t>
  </si>
  <si>
    <t>Téléphone et internet</t>
  </si>
  <si>
    <t>Loisirs</t>
  </si>
  <si>
    <t>Épargne</t>
  </si>
  <si>
    <t>Autres</t>
  </si>
  <si>
    <t>Total</t>
  </si>
  <si>
    <t>Reste en fin de mois</t>
  </si>
  <si>
    <t>Taux d'épargne</t>
  </si>
  <si>
    <t>Catégories dépassées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</si>
</sst>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\ &quot;$&quot;"/>
    <numFmt numFmtId="165" formatCode="0.0%"/>
  </numFmts>
  <fonts count="4" x14ac:knownFonts="1">
    <font>
      <color theme="1"/>
      <family val="2"/>
      <scheme val="minor"/>
      <sz val="11"/>
      <name val="Calibri"/>
    </font>
    <font>
      <b/>
      <color rgb="FF40304F"/>
      <sz val="18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FDE9D8"/>
      </patternFill>
    </fill>
    <fill>
      <patternFill patternType="solid">
        <fgColor rgb="FFF9B9D0"/>
      </patternFill>
    </fill>
    <fill>
      <patternFill patternType="solid">
        <fgColor rgb="FFE4F5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2" borderId="0" xfId="0" applyNumberFormat="1" applyFill="1"/>
    <xf numFmtId="0" fontId="2" fillId="3" borderId="0" xfId="0" applyFont="1" applyFill="1"/>
    <xf numFmtId="164" fontId="0" fillId="4" borderId="0" xfId="0" applyNumberFormat="1" applyFill="1"/>
    <xf numFmtId="165" fontId="0" fillId="4" borderId="0" xfId="0" applyNumberFormat="1" applyFill="1"/>
    <xf numFmtId="0" fontId="3" fillId="0" borderId="0" xfId="0" applyFont="1"/>
    <xf numFmtId="164" fontId="3" fillId="4" borderId="0" xfId="0" applyNumberFormat="1" applyFont="1" applyFill="1"/>
    <xf numFmtId="165" fontId="3" fillId="4" borderId="0" xfId="0" applyNumberFormat="1" applyFont="1" applyFill="1"/>
    <xf numFmtId="0" fontId="0" fillId="4" borderId="0" xfId="0" applyFill="1"/>
  </cellXfs>
  <cellStyles count="1">
    <cellStyle name="Normal" xfId="0" builtinId="0"/>
  </cellStyles>
  <dxfs count="1">
    <dxf>
      <fill>
        <patternFill patternType="solid">
          <bgColor rgb="FFFDE0E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6" customWidth="1"/>
    <col min="3" max="5" width="14" customWidth="1"/>
  </cols>
  <sheetData>
    <row r="1" spans="1:1" x14ac:dyDescent="0.25">
      <c r="A1" s="1" t="s">
        <v>0</v>
      </c>
    </row>
    <row r="3" spans="1:2" x14ac:dyDescent="0.25">
      <c r="A3" t="s">
        <v>1</v>
      </c>
      <c r="B3" s="2">
        <v>3400</v>
      </c>
    </row>
    <row r="5" spans="1:5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</row>
    <row r="6" spans="1:5" x14ac:dyDescent="0.25">
      <c r="A6" t="s">
        <v>7</v>
      </c>
      <c r="B6" s="2">
        <v>1100</v>
      </c>
      <c r="C6" s="2">
        <v>1100</v>
      </c>
      <c r="D6" s="4">
        <f>B6-C6</f>
        <v>0</v>
      </c>
      <c r="E6" s="5">
        <f>C6/$B$3</f>
        <v>0.3235294117647059</v>
      </c>
    </row>
    <row r="7" spans="1:5" x14ac:dyDescent="0.25">
      <c r="A7" t="s">
        <v>8</v>
      </c>
      <c r="B7" s="2">
        <v>450</v>
      </c>
      <c r="C7" s="2">
        <v>512.4</v>
      </c>
      <c r="D7" s="4">
        <f>B7-C7</f>
        <v>-62.39999999999998</v>
      </c>
      <c r="E7" s="5">
        <f>C7/$B$3</f>
        <v>0.15070588235294116</v>
      </c>
    </row>
    <row r="8" spans="1:5" x14ac:dyDescent="0.25">
      <c r="A8" t="s">
        <v>9</v>
      </c>
      <c r="B8" s="2">
        <v>180</v>
      </c>
      <c r="C8" s="2">
        <v>165.25</v>
      </c>
      <c r="D8" s="4">
        <f>B8-C8</f>
        <v>14.75</v>
      </c>
      <c r="E8" s="5">
        <f>C8/$B$3</f>
        <v>0.048602941176470585</v>
      </c>
    </row>
    <row r="9" spans="1:5" x14ac:dyDescent="0.25">
      <c r="A9" t="s">
        <v>10</v>
      </c>
      <c r="B9" s="2">
        <v>120</v>
      </c>
      <c r="C9" s="2">
        <v>118</v>
      </c>
      <c r="D9" s="4">
        <f>B9-C9</f>
        <v>2</v>
      </c>
      <c r="E9" s="5">
        <f>C9/$B$3</f>
        <v>0.03470588235294118</v>
      </c>
    </row>
    <row r="10" spans="1:5" x14ac:dyDescent="0.25">
      <c r="A10" t="s">
        <v>11</v>
      </c>
      <c r="B10" s="2">
        <v>200</v>
      </c>
      <c r="C10" s="2">
        <v>245.8</v>
      </c>
      <c r="D10" s="4">
        <f>B10-C10</f>
        <v>-45.80000000000001</v>
      </c>
      <c r="E10" s="5">
        <f>C10/$B$3</f>
        <v>0.07229411764705883</v>
      </c>
    </row>
    <row r="11" spans="1:5" x14ac:dyDescent="0.25">
      <c r="A11" t="s">
        <v>12</v>
      </c>
      <c r="B11" s="2">
        <v>400</v>
      </c>
      <c r="C11" s="2">
        <v>400</v>
      </c>
      <c r="D11" s="4">
        <f>B11-C11</f>
        <v>0</v>
      </c>
      <c r="E11" s="5">
        <f>C11/$B$3</f>
        <v>0.11764705882352941</v>
      </c>
    </row>
    <row r="12" spans="1:5" x14ac:dyDescent="0.25">
      <c r="A12" t="s">
        <v>13</v>
      </c>
      <c r="B12" s="2">
        <v>150</v>
      </c>
      <c r="C12" s="2">
        <v>98.5</v>
      </c>
      <c r="D12" s="4">
        <f>B12-C12</f>
        <v>51.5</v>
      </c>
      <c r="E12" s="5">
        <f>C12/$B$3</f>
        <v>0.028970588235294116</v>
      </c>
    </row>
    <row r="13" spans="1:5" x14ac:dyDescent="0.25">
      <c r="A13" s="6" t="s">
        <v>14</v>
      </c>
      <c r="B13" s="7">
        <f>SUM(B6:B12)</f>
        <v>2600</v>
      </c>
      <c r="C13" s="7">
        <f>SUM(C6:C12)</f>
        <v>2639.9500000000003</v>
      </c>
      <c r="D13" s="7">
        <f>B13-C13</f>
        <v>-39.95000000000027</v>
      </c>
      <c r="E13" s="8">
        <f>C13/B3</f>
        <v>0.7764558823529413</v>
      </c>
    </row>
    <row r="15" spans="1:2" x14ac:dyDescent="0.25">
      <c r="A15" t="s">
        <v>15</v>
      </c>
      <c r="B15" s="4">
        <f>B3-C13</f>
        <v>760.0499999999997</v>
      </c>
    </row>
    <row r="16" spans="1:2" x14ac:dyDescent="0.25">
      <c r="A16" t="s">
        <v>16</v>
      </c>
      <c r="B16" s="5">
        <f>C11/B3</f>
        <v>0.11764705882352941</v>
      </c>
    </row>
    <row r="17" spans="1:2" x14ac:dyDescent="0.25">
      <c r="A17" t="s">
        <v>17</v>
      </c>
      <c r="B17" s="9">
        <f>COUNTIF(D6:D12,"&lt;0")</f>
        <v>2</v>
      </c>
    </row>
  </sheetData>
  <conditionalFormatting sqref="D6:D12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 Académie</dc:creator>
  <dc:title/>
  <dc:subject/>
  <dc:description/>
  <cp:keywords/>
  <cp:category/>
  <cp:lastModifiedBy>Unknown</cp:lastModifiedBy>
  <dcterms:created xsi:type="dcterms:W3CDTF">2026-10-02T03:57:07Z</dcterms:created>
  <dcterms:modified xsi:type="dcterms:W3CDTF">2026-10-02T03:57:07Z</dcterms:modified>
</cp:coreProperties>
</file>