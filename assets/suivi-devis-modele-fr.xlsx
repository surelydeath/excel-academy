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s" state="visible" r:id="rId4"/>
  </sheets>
  <calcPr calcId="171027"/>
</workbook>
</file>

<file path=xl/sharedStrings.xml><?xml version="1.0" encoding="utf-8"?>
<sst xmlns="http://schemas.openxmlformats.org/spreadsheetml/2006/main" count="51" uniqueCount="40">
  <si>
    <t>Suivi de devis</t>
  </si>
  <si>
    <t>Nombre de devis</t>
  </si>
  <si>
    <t>Taux de conversion</t>
  </si>
  <si>
    <t>Devis acceptés</t>
  </si>
  <si>
    <t>Montant total TTC</t>
  </si>
  <si>
    <t>En attente</t>
  </si>
  <si>
    <t>Montant accepté TTC</t>
  </si>
  <si>
    <t>Refusés</t>
  </si>
  <si>
    <t>N°</t>
  </si>
  <si>
    <t>Client</t>
  </si>
  <si>
    <t>Date du devis</t>
  </si>
  <si>
    <t>Validité (jours)</t>
  </si>
  <si>
    <t>Montant HT</t>
  </si>
  <si>
    <t>TVA</t>
  </si>
  <si>
    <t>Montant TTC</t>
  </si>
  <si>
    <t>Date limite</t>
  </si>
  <si>
    <t>Statut</t>
  </si>
  <si>
    <t>Statuts</t>
  </si>
  <si>
    <t>D-001</t>
  </si>
  <si>
    <t>Atelier Lumen</t>
  </si>
  <si>
    <t>Refusé</t>
  </si>
  <si>
    <t>Accepté</t>
  </si>
  <si>
    <t>D-002</t>
  </si>
  <si>
    <t>Studio Nomade</t>
  </si>
  <si>
    <t>D-003</t>
  </si>
  <si>
    <t>Maison Ardoise</t>
  </si>
  <si>
    <t>D-004</t>
  </si>
  <si>
    <t>Nova &amp; Co</t>
  </si>
  <si>
    <t>D-005</t>
  </si>
  <si>
    <t>Les Petites Pixels</t>
  </si>
  <si>
    <t>D-006</t>
  </si>
  <si>
    <t>Julien Moreau</t>
  </si>
  <si>
    <t>D-007</t>
  </si>
  <si>
    <t>Camille Richard</t>
  </si>
  <si>
    <t>D-008</t>
  </si>
  <si>
    <t>Echo Concept</t>
  </si>
  <si>
    <t>D-009</t>
  </si>
  <si>
    <t>Sophie Lambert</t>
  </si>
  <si>
    <t>D-010</t>
  </si>
  <si>
    <t>Studio Equinoxe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</si>
</sst>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.00\ &quot;€&quot;"/>
    <numFmt numFmtId="166" formatCode="dd/mm/yyyy"/>
  </numFmts>
  <fonts count="4" x14ac:knownFonts="1">
    <font>
      <color theme="1"/>
      <family val="2"/>
      <scheme val="minor"/>
      <sz val="11"/>
      <name val="Calibri"/>
    </font>
    <font>
      <b/>
      <color rgb="FF40304F"/>
      <sz val="18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E4F5DA"/>
      </patternFill>
    </fill>
    <fill>
      <patternFill patternType="solid">
        <fgColor rgb="FFF9B9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0" fontId="3" fillId="3" borderId="0" xfId="0" applyFont="1" applyFill="1"/>
    <xf numFmtId="0" fontId="2" fillId="0" borderId="0" xfId="0" applyFont="1"/>
    <xf numFmtId="166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fill>
        <patternFill patternType="solid">
          <bgColor rgb="FFE4F5DA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DE0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5" customWidth="1"/>
    <col min="4" max="5" width="16" customWidth="1"/>
    <col min="7" max="7" width="16" customWidth="1"/>
    <col min="8" max="8" width="15" customWidth="1"/>
    <col min="9" max="9" width="14" customWidth="1"/>
    <col min="10" max="10" width="3" customWidth="1"/>
    <col min="11" max="11" width="14" customWidth="1"/>
  </cols>
  <sheetData>
    <row r="1" spans="1:1" x14ac:dyDescent="0.25">
      <c r="A1" s="1" t="s">
        <v>0</v>
      </c>
    </row>
    <row r="3" spans="1:5" x14ac:dyDescent="0.25">
      <c r="A3" t="s">
        <v>1</v>
      </c>
      <c r="B3" s="2">
        <f>COUNTA(A8:A17)</f>
        <v>10</v>
      </c>
      <c r="D3" t="s">
        <v>2</v>
      </c>
      <c r="E3" s="3">
        <f>B4/B3</f>
        <v>0.3</v>
      </c>
    </row>
    <row r="4" spans="1:5" x14ac:dyDescent="0.25">
      <c r="A4" t="s">
        <v>3</v>
      </c>
      <c r="B4" s="2">
        <f>COUNTIF(I8:I17,K8)</f>
        <v>3</v>
      </c>
      <c r="D4" t="s">
        <v>4</v>
      </c>
      <c r="E4" s="4">
        <f>SUM(G8:G17)</f>
        <v>17349.1</v>
      </c>
    </row>
    <row r="5" spans="1:5" x14ac:dyDescent="0.25">
      <c r="A5" t="s">
        <v>5</v>
      </c>
      <c r="B5" s="2">
        <f>COUNTIF(I8:I17,K9)</f>
        <v>4</v>
      </c>
      <c r="D5" t="s">
        <v>6</v>
      </c>
      <c r="E5" s="4">
        <f>SUMIF(I8:I17,K8,G8:G17)</f>
        <v>4630.9</v>
      </c>
    </row>
    <row r="6" spans="1:2" x14ac:dyDescent="0.25">
      <c r="A6" t="s">
        <v>7</v>
      </c>
      <c r="B6" s="2">
        <f>COUNTIF(I8:I17,K10)</f>
        <v>3</v>
      </c>
    </row>
    <row r="7" spans="1:11" x14ac:dyDescent="0.2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  <c r="K7" s="6" t="s">
        <v>17</v>
      </c>
    </row>
    <row r="8" spans="1:11" x14ac:dyDescent="0.25">
      <c r="A8" t="s">
        <v>18</v>
      </c>
      <c r="B8" t="s">
        <v>19</v>
      </c>
      <c r="C8" s="7">
        <v>45663</v>
      </c>
      <c r="D8">
        <v>30</v>
      </c>
      <c r="E8" s="8">
        <v>2440</v>
      </c>
      <c r="F8" s="9">
        <v>0.2</v>
      </c>
      <c r="G8" s="8">
        <f>E8*(1+F8)</f>
        <v>2928</v>
      </c>
      <c r="H8" s="7">
        <f>C8+D8</f>
        <v>45693</v>
      </c>
      <c r="I8" t="s">
        <v>20</v>
      </c>
      <c r="K8" t="s">
        <v>21</v>
      </c>
    </row>
    <row r="9" spans="1:11" x14ac:dyDescent="0.25">
      <c r="A9" t="s">
        <v>22</v>
      </c>
      <c r="B9" t="s">
        <v>23</v>
      </c>
      <c r="C9" s="7">
        <v>45671</v>
      </c>
      <c r="D9">
        <v>30</v>
      </c>
      <c r="E9" s="8">
        <v>1265</v>
      </c>
      <c r="F9" s="9">
        <v>0.2</v>
      </c>
      <c r="G9" s="8">
        <f>E9*(1+F9)</f>
        <v>1518</v>
      </c>
      <c r="H9" s="7">
        <f>C9+D9</f>
        <v>45701</v>
      </c>
      <c r="I9" t="s">
        <v>21</v>
      </c>
      <c r="K9" t="s">
        <v>5</v>
      </c>
    </row>
    <row r="10" spans="1:11" x14ac:dyDescent="0.25">
      <c r="A10" t="s">
        <v>24</v>
      </c>
      <c r="B10" t="s">
        <v>25</v>
      </c>
      <c r="C10" s="7">
        <v>45677</v>
      </c>
      <c r="D10">
        <v>60</v>
      </c>
      <c r="E10" s="8">
        <v>1890</v>
      </c>
      <c r="F10" s="9">
        <v>0.1</v>
      </c>
      <c r="G10" s="8">
        <f>E10*(1+F10)</f>
        <v>2079</v>
      </c>
      <c r="H10" s="7">
        <f>C10+D10</f>
        <v>45737</v>
      </c>
      <c r="I10" t="s">
        <v>21</v>
      </c>
      <c r="K10" t="s">
        <v>20</v>
      </c>
    </row>
    <row r="11" spans="1:9" x14ac:dyDescent="0.25">
      <c r="A11" t="s">
        <v>26</v>
      </c>
      <c r="B11" t="s">
        <v>27</v>
      </c>
      <c r="C11" s="7">
        <v>45691</v>
      </c>
      <c r="D11">
        <v>30</v>
      </c>
      <c r="E11" s="8">
        <v>246</v>
      </c>
      <c r="F11" s="9">
        <v>0.2</v>
      </c>
      <c r="G11" s="8">
        <f>E11*(1+F11)</f>
        <v>295.2</v>
      </c>
      <c r="H11" s="7">
        <f>C11+D11</f>
        <v>45721</v>
      </c>
      <c r="I11" t="s">
        <v>5</v>
      </c>
    </row>
    <row r="12" spans="1:9" x14ac:dyDescent="0.25">
      <c r="A12" t="s">
        <v>28</v>
      </c>
      <c r="B12" t="s">
        <v>29</v>
      </c>
      <c r="C12" s="7">
        <v>45698</v>
      </c>
      <c r="D12">
        <v>15</v>
      </c>
      <c r="E12" s="8">
        <v>452.5</v>
      </c>
      <c r="F12" s="9">
        <v>0.2</v>
      </c>
      <c r="G12" s="8">
        <f>E12*(1+F12)</f>
        <v>543</v>
      </c>
      <c r="H12" s="7">
        <f>C12+D12</f>
        <v>45713</v>
      </c>
      <c r="I12" t="s">
        <v>20</v>
      </c>
    </row>
    <row r="13" spans="1:9" x14ac:dyDescent="0.25">
      <c r="A13" t="s">
        <v>30</v>
      </c>
      <c r="B13" t="s">
        <v>31</v>
      </c>
      <c r="C13" s="7">
        <v>45712</v>
      </c>
      <c r="D13">
        <v>45</v>
      </c>
      <c r="E13" s="8">
        <v>3200</v>
      </c>
      <c r="F13" s="9">
        <v>0.2</v>
      </c>
      <c r="G13" s="8">
        <f>E13*(1+F13)</f>
        <v>3840</v>
      </c>
      <c r="H13" s="7">
        <f>C13+D13</f>
        <v>45757</v>
      </c>
      <c r="I13" t="s">
        <v>5</v>
      </c>
    </row>
    <row r="14" spans="1:9" x14ac:dyDescent="0.25">
      <c r="A14" t="s">
        <v>32</v>
      </c>
      <c r="B14" t="s">
        <v>33</v>
      </c>
      <c r="C14" s="7">
        <v>45720</v>
      </c>
      <c r="D14">
        <v>30</v>
      </c>
      <c r="E14" s="8">
        <v>980</v>
      </c>
      <c r="F14" s="9">
        <v>0.055</v>
      </c>
      <c r="G14" s="8">
        <f>E14*(1+F14)</f>
        <v>1033.8999999999999</v>
      </c>
      <c r="H14" s="7">
        <f>C14+D14</f>
        <v>45750</v>
      </c>
      <c r="I14" t="s">
        <v>21</v>
      </c>
    </row>
    <row r="15" spans="1:9" x14ac:dyDescent="0.25">
      <c r="A15" t="s">
        <v>34</v>
      </c>
      <c r="B15" t="s">
        <v>35</v>
      </c>
      <c r="C15" s="7">
        <v>45734</v>
      </c>
      <c r="D15">
        <v>60</v>
      </c>
      <c r="E15" s="8">
        <v>1500</v>
      </c>
      <c r="F15" s="9">
        <v>0.2</v>
      </c>
      <c r="G15" s="8">
        <f>E15*(1+F15)</f>
        <v>1800</v>
      </c>
      <c r="H15" s="7">
        <f>C15+D15</f>
        <v>45794</v>
      </c>
      <c r="I15" t="s">
        <v>5</v>
      </c>
    </row>
    <row r="16" spans="1:9" x14ac:dyDescent="0.25">
      <c r="A16" t="s">
        <v>36</v>
      </c>
      <c r="B16" t="s">
        <v>37</v>
      </c>
      <c r="C16" s="7">
        <v>45743</v>
      </c>
      <c r="D16">
        <v>15</v>
      </c>
      <c r="E16" s="8">
        <v>610</v>
      </c>
      <c r="F16" s="9">
        <v>0.2</v>
      </c>
      <c r="G16" s="8">
        <f>E16*(1+F16)</f>
        <v>732</v>
      </c>
      <c r="H16" s="7">
        <f>C16+D16</f>
        <v>45758</v>
      </c>
      <c r="I16" t="s">
        <v>20</v>
      </c>
    </row>
    <row r="17" spans="1:9" x14ac:dyDescent="0.25">
      <c r="A17" t="s">
        <v>38</v>
      </c>
      <c r="B17" t="s">
        <v>39</v>
      </c>
      <c r="C17" s="7">
        <v>45755</v>
      </c>
      <c r="D17">
        <v>30</v>
      </c>
      <c r="E17" s="8">
        <v>2150</v>
      </c>
      <c r="F17" s="9">
        <v>0.2</v>
      </c>
      <c r="G17" s="8">
        <f>E17*(1+F17)</f>
        <v>2580</v>
      </c>
      <c r="H17" s="7">
        <f>C17+D17</f>
        <v>45785</v>
      </c>
      <c r="I17" t="s">
        <v>5</v>
      </c>
    </row>
  </sheetData>
  <conditionalFormatting sqref="I8:I17">
    <cfRule type="expression" dxfId="0" priority="1">
      <formula>$I8=$K$8</formula>
    </cfRule>
    <cfRule type="expression" dxfId="1" priority="2">
      <formula>$I8=$K$9</formula>
    </cfRule>
    <cfRule type="expression" dxfId="2" priority="3">
      <formula>$I8=$K$10</formula>
    </cfRule>
  </conditionalFormatting>
  <dataValidations count="2">
    <dataValidation type="list" sqref="I10:I17">
      <formula1>$K$8:$K$10</formula1>
    </dataValidation>
    <dataValidation type="list" sqref="I8:I17">
      <formula1>$K$8:$K$10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2026-10-02T02:33:47Z</dcterms:created>
  <dcterms:modified xsi:type="dcterms:W3CDTF">2026-10-02T02:33:47Z</dcterms:modified>
</cp:coreProperties>
</file>